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s &amp; Stack" sheetId="1" state="visible" r:id="rId1"/>
    <sheet name="Assumptions" sheetId="2" state="visible" r:id="rId2"/>
    <sheet name="Cost per AI action" sheetId="3" state="visible" r:id="rId3"/>
    <sheet name="Tier unit economics" sheetId="4" state="visible" r:id="rId4"/>
    <sheet name="Break-ev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 &quot;₹&quot;"/>
    <numFmt numFmtId="165" formatCode="$0.0000"/>
    <numFmt numFmtId="166" formatCode="0.00 &quot;₹&quot;"/>
    <numFmt numFmtId="167" formatCode="#,##0.0"/>
    <numFmt numFmtId="168" formatCode="#,##0.00 &quot;₹&quot;"/>
    <numFmt numFmtId="169" formatCode="0.0%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i val="1"/>
    </font>
    <font>
      <b val="1"/>
      <color rgb="00FFFFFF"/>
    </font>
    <font>
      <b val="1"/>
      <i val="1"/>
    </font>
    <font>
      <b val="1"/>
    </font>
    <font>
      <i val="1"/>
      <sz val="9"/>
    </font>
    <font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pivotButton="0" quotePrefix="0" xfId="0"/>
    <xf numFmtId="0" fontId="0" fillId="4" borderId="1" pivotButton="0" quotePrefix="0" xfId="0"/>
    <xf numFmtId="0" fontId="6" fillId="0" borderId="1" pivotButton="0" quotePrefix="0" xfId="0"/>
    <xf numFmtId="10" fontId="0" fillId="4" borderId="1" pivotButton="0" quotePrefix="0" xfId="0"/>
    <xf numFmtId="0" fontId="7" fillId="0" borderId="0" pivotButton="0" quotePrefix="0" xfId="0"/>
    <xf numFmtId="0" fontId="0" fillId="0" borderId="1" pivotButton="0" quotePrefix="0" xfId="0"/>
    <xf numFmtId="164" fontId="0" fillId="4" borderId="1" pivotButton="0" quotePrefix="0" xfId="0"/>
    <xf numFmtId="164" fontId="5" fillId="5" borderId="1" pivotButton="0" quotePrefix="0" xfId="0"/>
    <xf numFmtId="3" fontId="0" fillId="4" borderId="1" pivotButton="0" quotePrefix="0" xfId="0"/>
    <xf numFmtId="165" fontId="0" fillId="5" borderId="1" pivotButton="0" quotePrefix="0" xfId="0"/>
    <xf numFmtId="166" fontId="0" fillId="5" borderId="1" pivotButton="0" quotePrefix="0" xfId="0"/>
    <xf numFmtId="166" fontId="5" fillId="5" borderId="1" pivotButton="0" quotePrefix="0" xfId="0"/>
    <xf numFmtId="9" fontId="0" fillId="4" borderId="1" pivotButton="0" quotePrefix="0" xfId="0"/>
    <xf numFmtId="167" fontId="0" fillId="5" borderId="1" pivotButton="0" quotePrefix="0" xfId="0"/>
    <xf numFmtId="168" fontId="0" fillId="5" borderId="1" pivotButton="0" quotePrefix="0" xfId="0"/>
    <xf numFmtId="168" fontId="5" fillId="5" borderId="1" pivotButton="0" quotePrefix="0" xfId="0"/>
    <xf numFmtId="0" fontId="0" fillId="6" borderId="1" pivotButton="0" quotePrefix="0" xfId="0"/>
    <xf numFmtId="169" fontId="0" fillId="5" borderId="1" pivotButton="0" quotePrefix="0" xfId="0"/>
    <xf numFmtId="164" fontId="0" fillId="5" borderId="1" pivotButton="0" quotePrefix="0" xfId="0"/>
    <xf numFmtId="0" fontId="0" fillId="5" borderId="1" pivotButton="0" quotePrefix="0" xfId="0"/>
    <xf numFmtId="3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26" customWidth="1" min="3" max="3"/>
    <col width="16" customWidth="1" min="4" max="4"/>
    <col width="40" customWidth="1" min="5" max="5"/>
  </cols>
  <sheetData>
    <row r="1">
      <c r="A1" s="1" t="inlineStr">
        <is>
          <t>AI-SoulMatch — What costs money (current stack)</t>
        </is>
      </c>
    </row>
    <row r="2">
      <c r="A2" s="2" t="inlineStr">
        <is>
          <t>Yellow cells anywhere in this workbook = your inputs. Green = calculated.</t>
        </is>
      </c>
    </row>
    <row r="4">
      <c r="A4" s="3" t="inlineStr">
        <is>
          <t>Module / Page</t>
        </is>
      </c>
      <c r="B4" s="3" t="inlineStr">
        <is>
          <t>What it does</t>
        </is>
      </c>
      <c r="C4" s="3" t="inlineStr">
        <is>
          <t>Tool / API used today</t>
        </is>
      </c>
      <c r="D4" s="3" t="inlineStr">
        <is>
          <t>Costs money?</t>
        </is>
      </c>
      <c r="E4" s="3" t="inlineStr">
        <is>
          <t>Cost driver</t>
        </is>
      </c>
    </row>
    <row r="5">
      <c r="A5" s="4" t="inlineStr">
        <is>
          <t>Ingest (pages_/2_Ingest.py)</t>
        </is>
      </c>
      <c r="B5" s="4" t="inlineStr">
        <is>
          <t>Parse WhatsApp chat export, extract candidate profiles</t>
        </is>
      </c>
      <c r="C5" s="4" t="inlineStr">
        <is>
          <t>LLM via soulmatch/extraction/llm.py — Gemini (gemini-flash-latest) / Anthropic / local / mock</t>
        </is>
      </c>
      <c r="D5" s="5" t="inlineStr">
        <is>
          <t>YES (LLM)</t>
        </is>
      </c>
      <c r="E5" s="4" t="inlineStr">
        <is>
          <t>Tokens per profile extracted</t>
        </is>
      </c>
    </row>
    <row r="6">
      <c r="A6" s="4" t="inlineStr">
        <is>
          <t>Profiles (3_Profiles.py)</t>
        </is>
      </c>
      <c r="B6" s="4" t="inlineStr">
        <is>
          <t>Re-extract / enrich a single profile from pasted text or biodata</t>
        </is>
      </c>
      <c r="C6" s="4" t="inlineStr">
        <is>
          <t>Same LLM layer</t>
        </is>
      </c>
      <c r="D6" s="5" t="inlineStr">
        <is>
          <t>YES (LLM)</t>
        </is>
      </c>
      <c r="E6" s="4" t="inlineStr">
        <is>
          <t>Tokens per extraction</t>
        </is>
      </c>
    </row>
    <row r="7">
      <c r="A7" s="4" t="inlineStr">
        <is>
          <t>Matching (4_Matching.py)</t>
        </is>
      </c>
      <c r="B7" s="4" t="inlineStr">
        <is>
          <t>Rule-based candidate filtering + AI recommendation / explanation</t>
        </is>
      </c>
      <c r="C7" s="4" t="inlineStr">
        <is>
          <t>Rules: soulmatch/matching/rules.py (local, free). Explanations: LLM (recommendation.py)</t>
        </is>
      </c>
      <c r="D7" s="4" t="inlineStr">
        <is>
          <t>PARTLY</t>
        </is>
      </c>
      <c r="E7" s="4" t="inlineStr">
        <is>
          <t>Only the AI-explanation calls</t>
        </is>
      </c>
    </row>
    <row r="8">
      <c r="A8" s="4" t="inlineStr">
        <is>
          <t>NL Search (8_Search.py)</t>
        </is>
      </c>
      <c r="B8" s="4" t="inlineStr">
        <is>
          <t>Natural-language search over profiles</t>
        </is>
      </c>
      <c r="C8" s="4" t="inlineStr">
        <is>
          <t>LLM (soulmatch/search.py)</t>
        </is>
      </c>
      <c r="D8" s="5" t="inlineStr">
        <is>
          <t>YES (LLM)</t>
        </is>
      </c>
      <c r="E8" s="4" t="inlineStr">
        <is>
          <t>Tokens per query</t>
        </is>
      </c>
    </row>
    <row r="9">
      <c r="A9" s="4" t="inlineStr">
        <is>
          <t>Astrology (5_Astrology.py)</t>
        </is>
      </c>
      <c r="B9" s="4" t="inlineStr">
        <is>
          <t>Koota (ashtakoota) score, dosha checks, geo lookup</t>
        </is>
      </c>
      <c r="C9" s="4" t="inlineStr">
        <is>
          <t>pyswisseph + own koota/dosha code — 100% local</t>
        </is>
      </c>
      <c r="D9" s="4" t="inlineStr">
        <is>
          <t>NO</t>
        </is>
      </c>
      <c r="E9" s="4" t="inlineStr">
        <is>
          <t>CPU only</t>
        </is>
      </c>
    </row>
    <row r="10">
      <c r="A10" s="4" t="inlineStr">
        <is>
          <t>Dashboard / Tasks / Users</t>
        </is>
      </c>
      <c r="B10" s="4" t="inlineStr">
        <is>
          <t>CRM views, follow-ups, auth</t>
        </is>
      </c>
      <c r="C10" s="4" t="inlineStr">
        <is>
          <t>Streamlit + SQLite</t>
        </is>
      </c>
      <c r="D10" s="4" t="inlineStr">
        <is>
          <t>NO</t>
        </is>
      </c>
      <c r="E10" s="4" t="inlineStr">
        <is>
          <t>—</t>
        </is>
      </c>
    </row>
    <row r="11">
      <c r="A11" s="4" t="inlineStr">
        <is>
          <t>Database</t>
        </is>
      </c>
      <c r="B11" s="4" t="inlineStr">
        <is>
          <t>All app data</t>
        </is>
      </c>
      <c r="C11" s="4" t="inlineStr">
        <is>
          <t>SQLite (file on disk)</t>
        </is>
      </c>
      <c r="D11" s="4" t="inlineStr">
        <is>
          <t>NO</t>
        </is>
      </c>
      <c r="E11" s="4" t="inlineStr">
        <is>
          <t>Disk only (upgrade to Postgres later)</t>
        </is>
      </c>
    </row>
    <row r="12">
      <c r="A12" s="4" t="inlineStr">
        <is>
          <t>Hosting</t>
        </is>
      </c>
      <c r="B12" s="4" t="inlineStr">
        <is>
          <t>Runs the Streamlit app</t>
        </is>
      </c>
      <c r="C12" s="4" t="inlineStr">
        <is>
          <t>Currently local machine; plan: small VPS</t>
        </is>
      </c>
      <c r="D12" s="5" t="inlineStr">
        <is>
          <t>YES (fixed)</t>
        </is>
      </c>
      <c r="E12" s="4" t="inlineStr">
        <is>
          <t>Flat monthly VPS fee</t>
        </is>
      </c>
    </row>
    <row r="13">
      <c r="A13" s="4" t="inlineStr">
        <is>
          <t>Payments</t>
        </is>
      </c>
      <c r="B13" s="4" t="inlineStr">
        <is>
          <t>Subscriptions (planned)</t>
        </is>
      </c>
      <c r="C13" s="4" t="inlineStr">
        <is>
          <t>Razorpay / Cashfree + UPI Autopay (planned)</t>
        </is>
      </c>
      <c r="D13" s="5" t="inlineStr">
        <is>
          <t>YES (variable)</t>
        </is>
      </c>
      <c r="E13" s="4" t="inlineStr">
        <is>
          <t>~2% of every payment</t>
        </is>
      </c>
    </row>
    <row r="14">
      <c r="A14" s="4" t="inlineStr">
        <is>
          <t>Ephemeris / geo data</t>
        </is>
      </c>
      <c r="B14" s="4" t="inlineStr">
        <is>
          <t>Planet positions, city coords</t>
        </is>
      </c>
      <c r="C14" s="4" t="inlineStr">
        <is>
          <t>Swiss Ephemeris files + offline geo table</t>
        </is>
      </c>
      <c r="D14" s="4" t="inlineStr">
        <is>
          <t>NO</t>
        </is>
      </c>
      <c r="E14" s="4" t="inlineStr">
        <is>
          <t>One-time bundled data</t>
        </is>
      </c>
    </row>
    <row r="16">
      <c r="A16" s="6" t="inlineStr">
        <is>
          <t>Key point: only 4 code paths hit a paid API, and every one of them is meterable per user. Astrology — the flagship feature — is free compute.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0" customWidth="1" min="3" max="3"/>
  </cols>
  <sheetData>
    <row r="1">
      <c r="A1" s="1" t="inlineStr">
        <is>
          <t>Global assumptions (edit yellow cells)</t>
        </is>
      </c>
    </row>
    <row r="3">
      <c r="A3" s="7" t="inlineStr">
        <is>
          <t>USD → INR exchange rate</t>
        </is>
      </c>
      <c r="B3" s="8" t="n">
        <v>86</v>
      </c>
      <c r="C3" s="9" t="inlineStr">
        <is>
          <t>Update as needed</t>
        </is>
      </c>
    </row>
    <row r="4">
      <c r="A4" s="7" t="inlineStr">
        <is>
          <t>LLM input price ($ per 1M tokens)</t>
        </is>
      </c>
      <c r="B4" s="8" t="n">
        <v>0.3</v>
      </c>
      <c r="C4" s="9" t="inlineStr">
        <is>
          <t>Gemini 2.5 Flash paid tier (default model)</t>
        </is>
      </c>
    </row>
    <row r="5">
      <c r="A5" s="7" t="inlineStr">
        <is>
          <t>LLM output price ($ per 1M tokens)</t>
        </is>
      </c>
      <c r="B5" s="8" t="n">
        <v>2.5</v>
      </c>
      <c r="C5" s="9" t="inlineStr">
        <is>
          <t>Gemini 2.5 Flash</t>
        </is>
      </c>
    </row>
    <row r="6">
      <c r="A6" s="7" t="inlineStr">
        <is>
          <t>Payment gateway fee (% of revenue)</t>
        </is>
      </c>
      <c r="B6" s="10" t="n">
        <v>0.02</v>
      </c>
      <c r="C6" s="9" t="inlineStr">
        <is>
          <t>Razorpay standard ~2% + GST on fee</t>
        </is>
      </c>
    </row>
    <row r="7">
      <c r="A7" s="7" t="inlineStr">
        <is>
          <t>GST on gateway fee (18% of the fee)</t>
        </is>
      </c>
      <c r="B7" s="10" t="n">
        <v>0.18</v>
      </c>
      <c r="C7" s="9" t="inlineStr">
        <is>
          <t>Effective gateway cost ≈ 2.36%</t>
        </is>
      </c>
    </row>
    <row r="8">
      <c r="A8" s="7" t="inlineStr">
        <is>
          <t>Free→Paid users ratio (free users per paid)</t>
        </is>
      </c>
      <c r="B8" s="8" t="n">
        <v>5</v>
      </c>
      <c r="C8" s="9" t="inlineStr">
        <is>
          <t>Every paid user 'carries' this many free users' API cost</t>
        </is>
      </c>
    </row>
    <row r="10">
      <c r="A10" s="11" t="inlineStr">
        <is>
          <t>Fixed monthly costs (₹)</t>
        </is>
      </c>
    </row>
    <row r="11">
      <c r="A11" s="12" t="inlineStr">
        <is>
          <t>VPS hosting (e.g. Hetzner CX22 / DO 2GB — runs Streamlit + SQLite fine to ~1–2k users)</t>
        </is>
      </c>
      <c r="B11" s="13" t="n">
        <v>700</v>
      </c>
    </row>
    <row r="12">
      <c r="A12" s="12" t="inlineStr">
        <is>
          <t>Domain (₹1,200/yr amortized)</t>
        </is>
      </c>
      <c r="B12" s="13" t="n">
        <v>100</v>
      </c>
    </row>
    <row r="13">
      <c r="A13" s="12" t="inlineStr">
        <is>
          <t>Object storage + offsite DB backups (photos/PDFs)</t>
        </is>
      </c>
      <c r="B13" s="13" t="n">
        <v>150</v>
      </c>
    </row>
    <row r="14">
      <c r="A14" s="12" t="inlineStr">
        <is>
          <t>Transactional email (login/receipts — free tier at first)</t>
        </is>
      </c>
      <c r="B14" s="13" t="n">
        <v>0</v>
      </c>
    </row>
    <row r="15">
      <c r="A15" s="12" t="inlineStr">
        <is>
          <t>Error monitoring / uptime (free tiers)</t>
        </is>
      </c>
      <c r="B15" s="13" t="n">
        <v>0</v>
      </c>
    </row>
    <row r="16">
      <c r="A16" s="12" t="inlineStr">
        <is>
          <t>Misc / buffer</t>
        </is>
      </c>
      <c r="B16" s="13" t="n">
        <v>200</v>
      </c>
    </row>
    <row r="17">
      <c r="A17" s="7" t="inlineStr">
        <is>
          <t>TOTAL FIXED / MONTH</t>
        </is>
      </c>
      <c r="B17" s="14">
        <f>SUM(B11:B16)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Cost per AI action (Gemini 2.5 Flash prices from Assumptions)</t>
        </is>
      </c>
    </row>
    <row r="3">
      <c r="A3" s="3" t="inlineStr">
        <is>
          <t>AI action (module)</t>
        </is>
      </c>
      <c r="B3" s="3" t="inlineStr">
        <is>
          <t>Input tokens</t>
        </is>
      </c>
      <c r="C3" s="3" t="inlineStr">
        <is>
          <t>Output tokens</t>
        </is>
      </c>
      <c r="D3" s="3" t="inlineStr">
        <is>
          <t>Cost $</t>
        </is>
      </c>
      <c r="E3" s="3" t="inlineStr">
        <is>
          <t>Cost ₹</t>
        </is>
      </c>
    </row>
    <row r="4">
      <c r="A4" s="12" t="inlineStr">
        <is>
          <t>WhatsApp profile extraction (Ingest)</t>
        </is>
      </c>
      <c r="B4" s="15" t="n">
        <v>3000</v>
      </c>
      <c r="C4" s="15" t="n">
        <v>1000</v>
      </c>
      <c r="D4" s="16">
        <f>(B4*Assumptions!$B$4+C4*Assumptions!$B$5)/1000000</f>
        <v/>
      </c>
      <c r="E4" s="17">
        <f>D4*Assumptions!$B$3</f>
        <v/>
      </c>
    </row>
    <row r="5">
      <c r="A5" s="12" t="inlineStr">
        <is>
          <t>PDF biodata parse (Ingest/Profiles)</t>
        </is>
      </c>
      <c r="B5" s="15" t="n">
        <v>5000</v>
      </c>
      <c r="C5" s="15" t="n">
        <v>1200</v>
      </c>
      <c r="D5" s="16">
        <f>(B5*Assumptions!$B$4+C5*Assumptions!$B$5)/1000000</f>
        <v/>
      </c>
      <c r="E5" s="17">
        <f>D5*Assumptions!$B$3</f>
        <v/>
      </c>
    </row>
    <row r="6">
      <c r="A6" s="12" t="inlineStr">
        <is>
          <t>Image OCR + extract (Ingest)</t>
        </is>
      </c>
      <c r="B6" s="15" t="n">
        <v>2500</v>
      </c>
      <c r="C6" s="15" t="n">
        <v>1000</v>
      </c>
      <c r="D6" s="16">
        <f>(B6*Assumptions!$B$4+C6*Assumptions!$B$5)/1000000</f>
        <v/>
      </c>
      <c r="E6" s="17">
        <f>D6*Assumptions!$B$3</f>
        <v/>
      </c>
    </row>
    <row r="7">
      <c r="A7" s="12" t="inlineStr">
        <is>
          <t>Match explanation / compare (Matching)</t>
        </is>
      </c>
      <c r="B7" s="15" t="n">
        <v>4000</v>
      </c>
      <c r="C7" s="15" t="n">
        <v>1500</v>
      </c>
      <c r="D7" s="16">
        <f>(B7*Assumptions!$B$4+C7*Assumptions!$B$5)/1000000</f>
        <v/>
      </c>
      <c r="E7" s="17">
        <f>D7*Assumptions!$B$3</f>
        <v/>
      </c>
    </row>
    <row r="8">
      <c r="A8" s="12" t="inlineStr">
        <is>
          <t>NL search query (Search)</t>
        </is>
      </c>
      <c r="B8" s="15" t="n">
        <v>2000</v>
      </c>
      <c r="C8" s="15" t="n">
        <v>500</v>
      </c>
      <c r="D8" s="16">
        <f>(B8*Assumptions!$B$4+C8*Assumptions!$B$5)/1000000</f>
        <v/>
      </c>
      <c r="E8" s="17">
        <f>D8*Assumptions!$B$3</f>
        <v/>
      </c>
    </row>
    <row r="9">
      <c r="A9" s="7" t="inlineStr">
        <is>
          <t>BLENDED AVERAGE per action</t>
        </is>
      </c>
      <c r="E9" s="18">
        <f>AVERAGE(E4:E8)</f>
        <v/>
      </c>
    </row>
    <row r="11">
      <c r="A11" s="2" t="inlineStr">
        <is>
          <t>Free for you (₹0): koota/dosha scores (pyswisseph), rule-based match filters, dashboards, tasks.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Per-subscriber monthly P&amp;L by tier</t>
        </is>
      </c>
    </row>
    <row r="3">
      <c r="A3" s="3" t="inlineStr"/>
      <c r="B3" s="3" t="inlineStr">
        <is>
          <t>Free</t>
        </is>
      </c>
      <c r="C3" s="3" t="inlineStr">
        <is>
          <t>Plus</t>
        </is>
      </c>
      <c r="D3" s="3" t="inlineStr">
        <is>
          <t>Pro</t>
        </is>
      </c>
    </row>
    <row r="4">
      <c r="A4" s="12" t="inlineStr">
        <is>
          <t>Price / month (₹)</t>
        </is>
      </c>
      <c r="B4" s="13" t="n">
        <v>0</v>
      </c>
      <c r="C4" s="13" t="n">
        <v>149</v>
      </c>
      <c r="D4" s="13" t="n">
        <v>399</v>
      </c>
    </row>
    <row r="5">
      <c r="A5" s="12" t="inlineStr">
        <is>
          <t>AI-action quota / month</t>
        </is>
      </c>
      <c r="B5" s="15" t="n">
        <v>15</v>
      </c>
      <c r="C5" s="15" t="n">
        <v>150</v>
      </c>
      <c r="D5" s="15" t="n">
        <v>500</v>
      </c>
    </row>
    <row r="6">
      <c r="A6" s="12" t="inlineStr">
        <is>
          <t>Expected actual usage (% of quota)</t>
        </is>
      </c>
      <c r="B6" s="19" t="n">
        <v>0.6</v>
      </c>
      <c r="C6" s="19" t="n">
        <v>0.45</v>
      </c>
      <c r="D6" s="19" t="n">
        <v>0.35</v>
      </c>
    </row>
    <row r="7">
      <c r="A7" s="7" t="inlineStr">
        <is>
          <t>AI actions actually used</t>
        </is>
      </c>
      <c r="B7" s="20">
        <f>B5*B6</f>
        <v/>
      </c>
      <c r="C7" s="20">
        <f>C5*C6</f>
        <v/>
      </c>
      <c r="D7" s="20">
        <f>D5*D6</f>
        <v/>
      </c>
    </row>
    <row r="8">
      <c r="A8" s="12" t="inlineStr">
        <is>
          <t>API cost (₹)</t>
        </is>
      </c>
      <c r="B8" s="21">
        <f>B7*'Cost per AI action'!$E$9</f>
        <v/>
      </c>
      <c r="C8" s="21">
        <f>C7*'Cost per AI action'!$E$9</f>
        <v/>
      </c>
      <c r="D8" s="21">
        <f>D7*'Cost per AI action'!$E$9</f>
        <v/>
      </c>
    </row>
    <row r="9">
      <c r="A9" s="12" t="inlineStr">
        <is>
          <t>Gateway fee incl. GST (₹)</t>
        </is>
      </c>
      <c r="B9" s="21">
        <f>B4*Assumptions!$B$6*(1+Assumptions!$B$7)</f>
        <v/>
      </c>
      <c r="C9" s="21">
        <f>C4*Assumptions!$B$6*(1+Assumptions!$B$7)</f>
        <v/>
      </c>
      <c r="D9" s="21">
        <f>D4*Assumptions!$B$6*(1+Assumptions!$B$7)</f>
        <v/>
      </c>
    </row>
    <row r="10">
      <c r="A10" s="7" t="inlineStr">
        <is>
          <t>Contribution margin / user / month (₹)</t>
        </is>
      </c>
      <c r="B10" s="22">
        <f>B4-B8-B9</f>
        <v/>
      </c>
      <c r="C10" s="22">
        <f>C4-C8-C9</f>
        <v/>
      </c>
      <c r="D10" s="22">
        <f>D4-D8-D9</f>
        <v/>
      </c>
    </row>
    <row r="11">
      <c r="A11" s="12" t="inlineStr">
        <is>
          <t>Margin %</t>
        </is>
      </c>
      <c r="B11" s="23" t="inlineStr">
        <is>
          <t>n/a</t>
        </is>
      </c>
      <c r="C11" s="24">
        <f>C10/C4</f>
        <v/>
      </c>
      <c r="D11" s="24">
        <f>D10/D4</f>
        <v/>
      </c>
    </row>
    <row r="13">
      <c r="A13" s="2" t="inlineStr">
        <is>
          <t>Note: 'Expected usage %' reflects that most subscribers never exhaust quotas. Worst case (100% usage) is still profitable — set the % to 100 to check.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Break-even: paid subscribers needed to cover fixed costs + free users</t>
        </is>
      </c>
    </row>
    <row r="3">
      <c r="A3" s="7" t="inlineStr">
        <is>
          <t>Fixed costs / month (from Assumptions)</t>
        </is>
      </c>
      <c r="B3" s="25">
        <f>Assumptions!$B$17</f>
        <v/>
      </c>
    </row>
    <row r="4">
      <c r="A4" s="12" t="inlineStr">
        <is>
          <t>Free-user API cost each (₹/mo)</t>
        </is>
      </c>
      <c r="B4" s="21">
        <f>'Tier unit economics'!B8</f>
        <v/>
      </c>
    </row>
    <row r="5">
      <c r="A5" s="12" t="inlineStr">
        <is>
          <t>Free users carried per paid user</t>
        </is>
      </c>
      <c r="B5" s="26">
        <f>Assumptions!$B$8</f>
        <v/>
      </c>
    </row>
    <row r="7">
      <c r="A7" s="3" t="inlineStr">
        <is>
          <t>Scenario mix</t>
        </is>
      </c>
      <c r="B7" s="3" t="inlineStr">
        <is>
          <t>% Plus</t>
        </is>
      </c>
      <c r="C7" s="3" t="inlineStr">
        <is>
          <t>% Pro</t>
        </is>
      </c>
      <c r="D7" s="3" t="inlineStr">
        <is>
          <t>Blended margin/paid user ₹</t>
        </is>
      </c>
      <c r="E7" s="3" t="inlineStr">
        <is>
          <t>Paid subs to break even</t>
        </is>
      </c>
    </row>
    <row r="8">
      <c r="A8" s="12" t="inlineStr">
        <is>
          <t>Conservative (mostly Plus)</t>
        </is>
      </c>
      <c r="B8" s="19" t="n">
        <v>0.9</v>
      </c>
      <c r="C8" s="19" t="n">
        <v>0.1</v>
      </c>
      <c r="D8" s="21">
        <f>B8*'Tier unit economics'!C10+C8*'Tier unit economics'!D10-$B$5*$B$4</f>
        <v/>
      </c>
      <c r="E8" s="27">
        <f>ROUNDUP($B$3/D8,0)</f>
        <v/>
      </c>
    </row>
    <row r="9">
      <c r="A9" s="12" t="inlineStr">
        <is>
          <t>Balanced</t>
        </is>
      </c>
      <c r="B9" s="19" t="n">
        <v>0.75</v>
      </c>
      <c r="C9" s="19" t="n">
        <v>0.25</v>
      </c>
      <c r="D9" s="21">
        <f>B9*'Tier unit economics'!C10+C9*'Tier unit economics'!D10-$B$5*$B$4</f>
        <v/>
      </c>
      <c r="E9" s="27">
        <f>ROUNDUP($B$3/D9,0)</f>
        <v/>
      </c>
    </row>
    <row r="10">
      <c r="A10" s="12" t="inlineStr">
        <is>
          <t>Pro-heavy</t>
        </is>
      </c>
      <c r="B10" s="19" t="n">
        <v>0.5</v>
      </c>
      <c r="C10" s="19" t="n">
        <v>0.5</v>
      </c>
      <c r="D10" s="21">
        <f>B10*'Tier unit economics'!C10+C10*'Tier unit economics'!D10-$B$5*$B$4</f>
        <v/>
      </c>
      <c r="E10" s="27">
        <f>ROUNDUP($B$3/D10,0)</f>
        <v/>
      </c>
    </row>
    <row r="12">
      <c r="A12" s="11" t="inlineStr">
        <is>
          <t>Monthly profit at N paid subscribers (Balanced mix)</t>
        </is>
      </c>
    </row>
    <row r="13">
      <c r="A13" s="3" t="inlineStr">
        <is>
          <t>Paid subscribers</t>
        </is>
      </c>
      <c r="B13" s="3" t="inlineStr">
        <is>
          <t>Revenue ₹</t>
        </is>
      </c>
      <c r="C13" s="3" t="inlineStr">
        <is>
          <t>All costs ₹</t>
        </is>
      </c>
      <c r="D13" s="3" t="inlineStr">
        <is>
          <t>Profit ₹</t>
        </is>
      </c>
    </row>
    <row r="14">
      <c r="A14" s="15" t="n">
        <v>10</v>
      </c>
      <c r="B14" s="25">
        <f>A14*(0.75*'Tier unit economics'!C4+0.25*'Tier unit economics'!D4)</f>
        <v/>
      </c>
      <c r="C14" s="25">
        <f>$B$3 + A14*(0.75*('Tier unit economics'!C8+'Tier unit economics'!C9)+0.25*('Tier unit economics'!D8+'Tier unit economics'!D9)) + A14*$B$5*$B$4</f>
        <v/>
      </c>
      <c r="D14" s="14">
        <f>B14-C14</f>
        <v/>
      </c>
    </row>
    <row r="15">
      <c r="A15" s="15" t="n">
        <v>25</v>
      </c>
      <c r="B15" s="25">
        <f>A15*(0.75*'Tier unit economics'!C4+0.25*'Tier unit economics'!D4)</f>
        <v/>
      </c>
      <c r="C15" s="25">
        <f>$B$3 + A15*(0.75*('Tier unit economics'!C8+'Tier unit economics'!C9)+0.25*('Tier unit economics'!D8+'Tier unit economics'!D9)) + A15*$B$5*$B$4</f>
        <v/>
      </c>
      <c r="D15" s="14">
        <f>B15-C15</f>
        <v/>
      </c>
    </row>
    <row r="16">
      <c r="A16" s="15" t="n">
        <v>50</v>
      </c>
      <c r="B16" s="25">
        <f>A16*(0.75*'Tier unit economics'!C4+0.25*'Tier unit economics'!D4)</f>
        <v/>
      </c>
      <c r="C16" s="25">
        <f>$B$3 + A16*(0.75*('Tier unit economics'!C8+'Tier unit economics'!C9)+0.25*('Tier unit economics'!D8+'Tier unit economics'!D9)) + A16*$B$5*$B$4</f>
        <v/>
      </c>
      <c r="D16" s="14">
        <f>B16-C16</f>
        <v/>
      </c>
    </row>
    <row r="17">
      <c r="A17" s="15" t="n">
        <v>100</v>
      </c>
      <c r="B17" s="25">
        <f>A17*(0.75*'Tier unit economics'!C4+0.25*'Tier unit economics'!D4)</f>
        <v/>
      </c>
      <c r="C17" s="25">
        <f>$B$3 + A17*(0.75*('Tier unit economics'!C8+'Tier unit economics'!C9)+0.25*('Tier unit economics'!D8+'Tier unit economics'!D9)) + A17*$B$5*$B$4</f>
        <v/>
      </c>
      <c r="D17" s="14">
        <f>B17-C17</f>
        <v/>
      </c>
    </row>
    <row r="18">
      <c r="A18" s="15" t="n">
        <v>250</v>
      </c>
      <c r="B18" s="25">
        <f>A18*(0.75*'Tier unit economics'!C4+0.25*'Tier unit economics'!D4)</f>
        <v/>
      </c>
      <c r="C18" s="25">
        <f>$B$3 + A18*(0.75*('Tier unit economics'!C8+'Tier unit economics'!C9)+0.25*('Tier unit economics'!D8+'Tier unit economics'!D9)) + A18*$B$5*$B$4</f>
        <v/>
      </c>
      <c r="D18" s="14">
        <f>B18-C18</f>
        <v/>
      </c>
    </row>
    <row r="19">
      <c r="A19" s="15" t="n">
        <v>500</v>
      </c>
      <c r="B19" s="25">
        <f>A19*(0.75*'Tier unit economics'!C4+0.25*'Tier unit economics'!D4)</f>
        <v/>
      </c>
      <c r="C19" s="25">
        <f>$B$3 + A19*(0.75*('Tier unit economics'!C8+'Tier unit economics'!C9)+0.25*('Tier unit economics'!D8+'Tier unit economics'!D9)) + A19*$B$5*$B$4</f>
        <v/>
      </c>
      <c r="D19" s="14">
        <f>B19-C19</f>
        <v/>
      </c>
    </row>
    <row r="20">
      <c r="A20" s="15" t="n">
        <v>1000</v>
      </c>
      <c r="B20" s="25">
        <f>A20*(0.75*'Tier unit economics'!C4+0.25*'Tier unit economics'!D4)</f>
        <v/>
      </c>
      <c r="C20" s="25">
        <f>$B$3 + A20*(0.75*('Tier unit economics'!C8+'Tier unit economics'!C9)+0.25*('Tier unit economics'!D8+'Tier unit economics'!D9)) + A20*$B$5*$B$4</f>
        <v/>
      </c>
      <c r="D20" s="14">
        <f>B20-C20</f>
        <v/>
      </c>
    </row>
    <row r="22">
      <c r="A22" s="2" t="inlineStr">
        <is>
          <t>All costs = fixed + paid users' API &amp; gateway + free users' API (5 free per paid by default).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2026-07-11T17:48:52Z</dcterms:created>
  <dcterms:modified xsi:type="dcterms:W3CDTF">2026-07-11T17:48:52Z</dcterms:modified>
</cp:coreProperties>
</file>